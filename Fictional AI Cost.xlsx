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<sst xmlns="http://schemas.openxmlformats.org/spreadsheetml/2006/main" count="48" uniqueCount="43">
  <si>
    <t>Lab</t>
  </si>
  <si>
    <t>AI Model</t>
  </si>
  <si>
    <t>Per Credit Cost</t>
  </si>
  <si>
    <t>Video Gen Cost Per 8 Sec</t>
  </si>
  <si>
    <t>Freepik</t>
  </si>
  <si>
    <t>Google veo 3.1</t>
  </si>
  <si>
    <t>Frameo</t>
  </si>
  <si>
    <t>-</t>
  </si>
  <si>
    <t>HiggsField</t>
  </si>
  <si>
    <t>Pixverse</t>
  </si>
  <si>
    <t>V5.6</t>
  </si>
  <si>
    <t>Minivet</t>
  </si>
  <si>
    <t>Google Veo</t>
  </si>
  <si>
    <t>Veo 3.1 Fast</t>
  </si>
  <si>
    <t>Higgsfield</t>
  </si>
  <si>
    <t>Plan: Creator</t>
  </si>
  <si>
    <t>Monthly Cost: $150</t>
  </si>
  <si>
    <t>Credits: 6,000 per month</t>
  </si>
  <si>
    <t>Per Credit Cost: $0.025</t>
  </si>
  <si>
    <t>Veo3 Model Cost: 58 credits for 8 sec</t>
  </si>
  <si>
    <t>PixVerse</t>
  </si>
  <si>
    <t>Plan: Premium</t>
  </si>
  <si>
    <t>Monthly Cost: $60</t>
  </si>
  <si>
    <t>Credits: 15,000 per month (credits reset monthly)</t>
  </si>
  <si>
    <t>Per Credit Cost: $0.004</t>
  </si>
  <si>
    <t>Veo3 Model Cost: 160 credits for 8 sec</t>
  </si>
  <si>
    <t>Plan: Pro</t>
  </si>
  <si>
    <t>Monthly Cost: ₹17,250 per month</t>
  </si>
  <si>
    <t>Credits: 300,000 per month</t>
  </si>
  <si>
    <t>Per Credit Cost: ₹0.0575</t>
  </si>
  <si>
    <t>Veo3 Model Cost: 2400 Credits for 8 Sec</t>
  </si>
  <si>
    <t>Credits required per minute: 10,000</t>
  </si>
  <si>
    <t>Cost per 10,000 credits: $60 – $80</t>
  </si>
  <si>
    <t>Duration: 1 minute = 60 seconds</t>
  </si>
  <si>
    <t>Lower bound: $60 ÷ 60 seconds = $1.00 per second</t>
  </si>
  <si>
    <t>Upper bound: $80 ÷ 60 seconds = $1.33 per second</t>
  </si>
  <si>
    <t>Per-second video cost (image + video + audio combined):</t>
  </si>
  <si>
    <t>$1.00 – $1.33 per second</t>
  </si>
  <si>
    <t>Plan: Google AI Ultra</t>
  </si>
  <si>
    <t>Monthly Cost: $250</t>
  </si>
  <si>
    <t>Credits: 25,000 per month</t>
  </si>
  <si>
    <t>Per Credit Cost: $0.01</t>
  </si>
  <si>
    <t>Veo3 Model Cost: 20 credits for 8 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</si>
</sst>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222222"/>
      <name val="Arial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Border="1" applyFont="1" applyNumberFormat="1"/>
    <xf borderId="1" fillId="0" fontId="2" numFmtId="0" xfId="0" applyAlignment="1" applyBorder="1" applyFont="1">
      <alignment horizontal="center" readingOrder="0"/>
    </xf>
    <xf borderId="0" fillId="3" fontId="3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3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75"/>
    <col customWidth="1" min="4" max="4" width="28.38"/>
    <col customWidth="1" min="6" max="6" width="75.13"/>
    <col customWidth="1" min="7" max="7" width="60.0"/>
    <col customWidth="1" min="8" max="8" width="5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f>PRODUCT(0.0575)/90.48</f>
        <v>0.0006354995579</v>
      </c>
      <c r="D2" s="3">
        <f>PRODUCT(0.0575*2400)/90.48</f>
        <v>1.525198939</v>
      </c>
    </row>
    <row r="3">
      <c r="A3" s="2" t="s">
        <v>6</v>
      </c>
      <c r="B3" s="4" t="s">
        <v>7</v>
      </c>
      <c r="C3" s="3">
        <f>PRODUCT(1.33*1)</f>
        <v>1.33</v>
      </c>
      <c r="D3" s="3">
        <f>PRODUCT(1.33*8)</f>
        <v>10.64</v>
      </c>
    </row>
    <row r="4">
      <c r="A4" s="2" t="s">
        <v>8</v>
      </c>
      <c r="B4" s="2" t="s">
        <v>5</v>
      </c>
      <c r="C4" s="3">
        <f>PRODUCT(0.025)</f>
        <v>0.025</v>
      </c>
      <c r="D4" s="3">
        <f>PRODUCT(0.025*58)</f>
        <v>1.45</v>
      </c>
    </row>
    <row r="5">
      <c r="A5" s="2" t="s">
        <v>9</v>
      </c>
      <c r="B5" s="2" t="s">
        <v>10</v>
      </c>
      <c r="C5" s="3">
        <f>PRODUCT(0.004)</f>
        <v>0.004</v>
      </c>
      <c r="D5" s="3">
        <f>PRODUCT(0.004*160)</f>
        <v>0.64</v>
      </c>
    </row>
    <row r="6">
      <c r="A6" s="2" t="s">
        <v>11</v>
      </c>
      <c r="B6" s="4" t="s">
        <v>7</v>
      </c>
      <c r="C6" s="3">
        <f>PRODUCT(0.04)</f>
        <v>0.04</v>
      </c>
      <c r="D6" s="3">
        <f>PRODUCT(0.04*8)</f>
        <v>0.32</v>
      </c>
    </row>
    <row r="7">
      <c r="A7" s="2" t="s">
        <v>12</v>
      </c>
      <c r="B7" s="2" t="s">
        <v>13</v>
      </c>
      <c r="C7" s="3">
        <f>PRODUCT(0.01)</f>
        <v>0.01</v>
      </c>
      <c r="D7" s="3">
        <f>PRODUCT(0.01*20)</f>
        <v>0.2</v>
      </c>
    </row>
    <row r="9">
      <c r="F9" s="5" t="s">
        <v>14</v>
      </c>
    </row>
    <row r="10">
      <c r="F10" s="6" t="s">
        <v>15</v>
      </c>
    </row>
    <row r="11">
      <c r="F11" s="6" t="s">
        <v>16</v>
      </c>
    </row>
    <row r="12">
      <c r="F12" s="6" t="s">
        <v>17</v>
      </c>
    </row>
    <row r="13">
      <c r="F13" s="6" t="s">
        <v>18</v>
      </c>
    </row>
    <row r="14">
      <c r="F14" s="6" t="s">
        <v>19</v>
      </c>
    </row>
    <row r="15">
      <c r="F15" s="7"/>
    </row>
    <row r="16">
      <c r="F16" s="5" t="s">
        <v>20</v>
      </c>
    </row>
    <row r="17">
      <c r="F17" s="6" t="s">
        <v>21</v>
      </c>
    </row>
    <row r="18">
      <c r="F18" s="6" t="s">
        <v>22</v>
      </c>
    </row>
    <row r="19">
      <c r="F19" s="6" t="s">
        <v>23</v>
      </c>
    </row>
    <row r="20">
      <c r="F20" s="6" t="s">
        <v>24</v>
      </c>
    </row>
    <row r="21">
      <c r="F21" s="6" t="s">
        <v>25</v>
      </c>
    </row>
    <row r="22">
      <c r="F22" s="7"/>
    </row>
    <row r="23">
      <c r="F23" s="5" t="s">
        <v>4</v>
      </c>
    </row>
    <row r="24">
      <c r="F24" s="6" t="s">
        <v>26</v>
      </c>
    </row>
    <row r="25">
      <c r="F25" s="6" t="s">
        <v>27</v>
      </c>
    </row>
    <row r="26">
      <c r="F26" s="6" t="s">
        <v>28</v>
      </c>
    </row>
    <row r="27">
      <c r="F27" s="6" t="s">
        <v>29</v>
      </c>
    </row>
    <row r="28">
      <c r="F28" s="6" t="s">
        <v>30</v>
      </c>
    </row>
    <row r="30">
      <c r="F30" s="5" t="s">
        <v>6</v>
      </c>
    </row>
    <row r="31">
      <c r="F31" s="6" t="s">
        <v>31</v>
      </c>
    </row>
    <row r="32">
      <c r="F32" s="6" t="s">
        <v>32</v>
      </c>
    </row>
    <row r="33">
      <c r="F33" s="6" t="s">
        <v>33</v>
      </c>
    </row>
    <row r="34">
      <c r="F34" s="6" t="s">
        <v>34</v>
      </c>
    </row>
    <row r="35">
      <c r="F35" s="6" t="s">
        <v>35</v>
      </c>
    </row>
    <row r="36">
      <c r="F36" s="6" t="s">
        <v>36</v>
      </c>
    </row>
    <row r="37">
      <c r="F37" s="6" t="s">
        <v>37</v>
      </c>
    </row>
    <row r="39">
      <c r="F39" s="5" t="s">
        <v>12</v>
      </c>
    </row>
    <row r="40">
      <c r="F40" s="6" t="s">
        <v>38</v>
      </c>
    </row>
    <row r="41">
      <c r="F41" s="6" t="s">
        <v>39</v>
      </c>
    </row>
    <row r="42">
      <c r="F42" s="6" t="s">
        <v>40</v>
      </c>
    </row>
    <row r="43">
      <c r="F43" s="6" t="s">
        <v>41</v>
      </c>
      <c r="G43" s="6"/>
    </row>
    <row r="44">
      <c r="F44" s="6" t="s">
        <v>42</v>
      </c>
    </row>
  </sheetData>
  <drawing r:id="rId1"/>
</worksheet>
</file>